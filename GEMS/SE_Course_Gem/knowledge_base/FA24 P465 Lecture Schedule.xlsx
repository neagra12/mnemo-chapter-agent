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230  Spring Lecture Schedule -" sheetId="2" r:id="rId6"/>
    <sheet name="I230  Spring Lecture Schedule 1" sheetId="3" r:id="rId7"/>
    <sheet name="Sheet 1"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<sst xmlns="http://schemas.openxmlformats.org/spreadsheetml/2006/main" uniqueCount="104">
  <si>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</si>
  <si>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</si>
  <si>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</si>
  <si>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</si>
  <si>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I230  Spring Lecture Schedule</t>
  </si>
  <si>
    <t>Table 1</t>
  </si>
  <si>
    <t>I230  Spring Lecture Schedule -</t>
  </si>
  <si>
    <t>Start Date</t>
  </si>
  <si>
    <t># Classes</t>
  </si>
  <si>
    <t xml:space="preserve">Topic </t>
  </si>
  <si>
    <t>Assignment</t>
  </si>
  <si>
    <t>Readings</t>
  </si>
  <si>
    <t>Class Exercise</t>
  </si>
  <si>
    <t xml:space="preserve">Announced </t>
  </si>
  <si>
    <t>Due</t>
  </si>
  <si>
    <t>Week 1 - Overview and Setup</t>
  </si>
  <si>
    <t>Course Overview,
Angband the game</t>
  </si>
  <si>
    <t>Define Your Team [Team Best}</t>
  </si>
  <si>
    <t>Read the Angband docs.
Git Book Chap ??</t>
  </si>
  <si>
    <t>Ssh keys and GitHub setup</t>
  </si>
  <si>
    <t>SSH Keys,Git fork
GitHub PR
Team Building</t>
  </si>
  <si>
    <t>Play Angband</t>
  </si>
  <si>
    <t xml:space="preserve">Pull Request docs
</t>
  </si>
  <si>
    <t>Week 2 - Building Angband</t>
  </si>
  <si>
    <t>NO CLASS - LABOR DAY HOLIDAY</t>
  </si>
  <si>
    <t>Building Angband Project
Make files
Shell scripts
Library dependencies</t>
  </si>
  <si>
    <t>Makefile Exercise</t>
  </si>
  <si>
    <t>Makefile tutorial</t>
  </si>
  <si>
    <t>Build angband on silo</t>
  </si>
  <si>
    <t>Week 3 Architecture and Design</t>
  </si>
  <si>
    <t>Application architecture
Documenting Design</t>
  </si>
  <si>
    <t>Diagram flow and major data structures [Team Best]</t>
  </si>
  <si>
    <t>UML guide</t>
  </si>
  <si>
    <t>UML diagramming</t>
  </si>
  <si>
    <t>UML diagrams and reverse engineering</t>
  </si>
  <si>
    <t>Week 4 - Modifying Existing Projects</t>
  </si>
  <si>
    <t>Impact Analysis</t>
  </si>
  <si>
    <t>Impact report for wall clock time</t>
  </si>
  <si>
    <t>Impact Analysis Exericise</t>
  </si>
  <si>
    <t>Test plan for feature change</t>
  </si>
  <si>
    <t>Test Design</t>
  </si>
  <si>
    <t>Week 5 - Virtualization</t>
  </si>
  <si>
    <t>Virtualization</t>
  </si>
  <si>
    <t>Compiling Angband in VM</t>
  </si>
  <si>
    <t>Install and configure VMWare</t>
  </si>
  <si>
    <t>Virtualization Automation</t>
  </si>
  <si>
    <t>Week 6 - Data Management</t>
  </si>
  <si>
    <t>Structured File storage</t>
  </si>
  <si>
    <t>Monster Editor Scope and MVP</t>
  </si>
  <si>
    <t>DB System Overview
SQL
NoSQL
Distributed Key</t>
  </si>
  <si>
    <t>Week 7 Containerization</t>
  </si>
  <si>
    <t>Containerization
Docker</t>
  </si>
  <si>
    <t>MFE Prt1</t>
  </si>
  <si>
    <t>Containerize Angband game</t>
  </si>
  <si>
    <t>Containerize Angband</t>
  </si>
  <si>
    <t>Container Integration
Docker Compose Files</t>
  </si>
  <si>
    <t>Week 8 -Mid-term</t>
  </si>
  <si>
    <t>TBD
Regex(?)
Review(?)</t>
  </si>
  <si>
    <t>MFE Prt2</t>
  </si>
  <si>
    <t>Exam</t>
  </si>
  <si>
    <t>Week 9 - Intro Data Networks</t>
  </si>
  <si>
    <t>HTTP Protocol</t>
  </si>
  <si>
    <t>MoJ V1</t>
  </si>
  <si>
    <t>Web Frameworks (Flask)</t>
  </si>
  <si>
    <t>Week 10 - Web Application Architeture</t>
  </si>
  <si>
    <t>Flask and Configuration</t>
  </si>
  <si>
    <t>MoJ v2</t>
  </si>
  <si>
    <t>Flask II (template, static files, BP, install, Error, logging)</t>
  </si>
  <si>
    <t>Week 11 - Application Security</t>
  </si>
  <si>
    <t>SQL Alchemy</t>
  </si>
  <si>
    <t>Security</t>
  </si>
  <si>
    <t>Week 12 - Automated Deployment</t>
  </si>
  <si>
    <t>Testing</t>
  </si>
  <si>
    <t>MoJ v3</t>
  </si>
  <si>
    <t>Week 13 - CI/CD</t>
  </si>
  <si>
    <t>Logging</t>
  </si>
  <si>
    <t>Monitoring`</t>
  </si>
  <si>
    <t>11/24 - 11/30</t>
  </si>
  <si>
    <t>NO CLASS - THANKSGIVING BREAK</t>
  </si>
  <si>
    <t>Week 14</t>
  </si>
  <si>
    <t>CI/CD</t>
  </si>
  <si>
    <t>REACT</t>
  </si>
  <si>
    <t>Week 15</t>
  </si>
  <si>
    <t>Deployment</t>
  </si>
  <si>
    <t>Swarm</t>
  </si>
  <si>
    <t>Final Exam Week</t>
  </si>
  <si>
    <t>FINAL EXAM DUE AT MIDNIGHT</t>
  </si>
  <si>
    <t>Defining Development environment</t>
  </si>
  <si>
    <t>Create team dev environment</t>
  </si>
  <si>
    <t>Setting up the project</t>
  </si>
  <si>
    <t>Table 2</t>
  </si>
  <si>
    <t>I230  Spring Lecture Schedule 1</t>
  </si>
  <si>
    <t>Released</t>
  </si>
  <si>
    <t>Length</t>
  </si>
  <si>
    <t>MFE P1</t>
  </si>
  <si>
    <t>MFE Pt2</t>
  </si>
  <si>
    <t>MoJ v1</t>
  </si>
  <si>
    <t>Sheet 1</t>
  </si>
  <si>
    <t>Week</t>
  </si>
  <si>
    <t>Holidays</t>
  </si>
  <si>
    <t>Class impact</t>
  </si>
  <si>
    <t>MLK Day</t>
  </si>
  <si>
    <t>Spring Break</t>
  </si>
  <si>
    <t>W Day</t>
  </si>
</sst>
</file>

<file path=xl/styles.xml><?xml version="1.0" encoding="utf-8"?>
<styleSheet xmlns="http://schemas.openxmlformats.org/spreadsheetml/2006/main">
  <numFmts count="3">
    <numFmt numFmtId="0" formatCode="General"/>
    <numFmt numFmtId="59" formatCode="m/d/yyyy"/>
    <numFmt numFmtId="60" formatCode="m/d"/>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s>
  <borders count="10">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s>
  <cellStyleXfs count="1">
    <xf numFmtId="0" fontId="0" applyNumberFormat="0" applyFont="1" applyFill="0" applyBorder="0" applyAlignment="1" applyProtection="0">
      <alignment vertical="top" wrapText="1"/>
    </xf>
  </cellStyleXfs>
  <cellXfs count="5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horizontal="center" vertical="top" wrapText="1"/>
    </xf>
    <xf numFmtId="49" fontId="4" fillId="4" borderId="1" applyNumberFormat="1" applyFont="1" applyFill="1" applyBorder="1" applyAlignment="1" applyProtection="0">
      <alignment vertical="top" wrapText="1"/>
    </xf>
    <xf numFmtId="0" fontId="4" fillId="5" borderId="2" applyNumberFormat="1" applyFont="1" applyFill="1" applyBorder="1" applyAlignment="1" applyProtection="0">
      <alignment vertical="top" wrapText="1"/>
    </xf>
    <xf numFmtId="49" fontId="4" fillId="5" borderId="3" applyNumberFormat="1" applyFont="1" applyFill="1" applyBorder="1" applyAlignment="1" applyProtection="0">
      <alignment vertical="top" wrapText="1"/>
    </xf>
    <xf numFmtId="59" fontId="0" borderId="4" applyNumberFormat="1" applyFont="1" applyFill="0" applyBorder="1" applyAlignment="1" applyProtection="0">
      <alignment horizontal="center" vertical="top" wrapText="1"/>
    </xf>
    <xf numFmtId="0" fontId="0" borderId="2" applyNumberFormat="0" applyFont="1" applyFill="0" applyBorder="1" applyAlignment="1" applyProtection="0">
      <alignment horizontal="center" vertical="top" wrapText="1"/>
    </xf>
    <xf numFmtId="49" fontId="0" borderId="2" applyNumberFormat="1" applyFont="1" applyFill="0" applyBorder="1" applyAlignment="1" applyProtection="0">
      <alignment vertical="top" wrapText="1"/>
    </xf>
    <xf numFmtId="0" fontId="0" borderId="2" applyNumberFormat="0"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4" fillId="5" borderId="6" applyNumberFormat="0" applyFont="1" applyFill="1" applyBorder="1" applyAlignment="1" applyProtection="0">
      <alignment vertical="top" wrapText="1"/>
    </xf>
    <xf numFmtId="59" fontId="0" borderId="7" applyNumberFormat="1" applyFont="1" applyFill="0" applyBorder="1" applyAlignment="1" applyProtection="0">
      <alignment horizontal="center" vertical="top" wrapText="1"/>
    </xf>
    <xf numFmtId="0" fontId="0" borderId="5" applyNumberFormat="0" applyFont="1" applyFill="0" applyBorder="1" applyAlignment="1" applyProtection="0">
      <alignment horizontal="center" vertical="top" wrapText="1"/>
    </xf>
    <xf numFmtId="49" fontId="0" borderId="5"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0" fontId="4" fillId="5" borderId="5" applyNumberFormat="1" applyFont="1" applyFill="1" applyBorder="1" applyAlignment="1" applyProtection="0">
      <alignment vertical="top" wrapText="1"/>
    </xf>
    <xf numFmtId="49" fontId="4" fillId="5" borderId="6" applyNumberFormat="1" applyFont="1" applyFill="1" applyBorder="1" applyAlignment="1" applyProtection="0">
      <alignment vertical="top" wrapText="1"/>
    </xf>
    <xf numFmtId="49" fontId="0" fillId="6" borderId="5" applyNumberFormat="1" applyFont="1" applyFill="1" applyBorder="1" applyAlignment="1" applyProtection="0">
      <alignment vertical="top" wrapText="1"/>
    </xf>
    <xf numFmtId="0" fontId="0" fillId="6" borderId="5" applyNumberFormat="0" applyFont="1" applyFill="1" applyBorder="1" applyAlignment="1" applyProtection="0">
      <alignment vertical="top" wrapText="1"/>
    </xf>
    <xf numFmtId="60" fontId="0" borderId="5" applyNumberFormat="1" applyFont="1" applyFill="0" applyBorder="1" applyAlignment="1" applyProtection="0">
      <alignment vertical="top" wrapText="1"/>
    </xf>
    <xf numFmtId="0" fontId="0" borderId="5" applyNumberFormat="1" applyFont="1" applyFill="0"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60" fontId="0" borderId="7" applyNumberFormat="1" applyFont="1" applyFill="0" applyBorder="1" applyAlignment="1" applyProtection="0">
      <alignment horizontal="center" vertical="top" wrapText="1"/>
    </xf>
    <xf numFmtId="49" fontId="0" fillId="7" borderId="5" applyNumberFormat="1" applyFont="1" applyFill="1" applyBorder="1" applyAlignment="1" applyProtection="0">
      <alignment vertical="top" wrapText="1"/>
    </xf>
    <xf numFmtId="0" fontId="0" fillId="7" borderId="5" applyNumberFormat="0" applyFont="1" applyFill="1" applyBorder="1" applyAlignment="1" applyProtection="0">
      <alignment vertical="top" wrapText="1"/>
    </xf>
    <xf numFmtId="0" fontId="0" borderId="7" applyNumberFormat="0" applyFont="1" applyFill="0" applyBorder="1" applyAlignment="1" applyProtection="0">
      <alignment horizontal="center" vertical="top" wrapText="1"/>
    </xf>
    <xf numFmtId="0" fontId="4" fillId="5" borderId="1" applyNumberFormat="0" applyFont="1" applyFill="1" applyBorder="1" applyAlignment="1" applyProtection="0">
      <alignment vertical="top" wrapText="1"/>
    </xf>
    <xf numFmtId="0" fontId="4" fillId="5" borderId="8" applyNumberFormat="0" applyFont="1" applyFill="1" applyBorder="1" applyAlignment="1" applyProtection="0">
      <alignment vertical="top" wrapText="1"/>
    </xf>
    <xf numFmtId="0" fontId="0" borderId="9" applyNumberFormat="0" applyFont="1" applyFill="0" applyBorder="1" applyAlignment="1" applyProtection="0">
      <alignment horizontal="center" vertical="top" wrapText="1"/>
    </xf>
    <xf numFmtId="0" fontId="0" borderId="1" applyNumberFormat="0" applyFont="1" applyFill="0" applyBorder="1" applyAlignment="1" applyProtection="0">
      <alignment horizontal="center" vertical="top" wrapText="1"/>
    </xf>
    <xf numFmtId="0" fontId="0" borderId="1" applyNumberFormat="0" applyFont="1" applyFill="0" applyBorder="1" applyAlignment="1" applyProtection="0">
      <alignment vertical="top" wrapText="1"/>
    </xf>
    <xf numFmtId="0" fontId="4" borderId="2" applyNumberFormat="0" applyFont="1" applyFill="0" applyBorder="1" applyAlignment="1" applyProtection="0">
      <alignment vertical="top" wrapText="1"/>
    </xf>
    <xf numFmtId="0" fontId="4" borderId="2" applyNumberFormat="0" applyFont="1" applyFill="0" applyBorder="1" applyAlignment="1" applyProtection="0">
      <alignment horizontal="center" vertical="top" wrapText="1"/>
    </xf>
    <xf numFmtId="0" fontId="4" borderId="2"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4" fillId="5" borderId="3" applyNumberFormat="1" applyFont="1" applyFill="1" applyBorder="1" applyAlignment="1" applyProtection="0">
      <alignment vertical="top" wrapText="1"/>
    </xf>
    <xf numFmtId="60" fontId="0" borderId="4" applyNumberFormat="1" applyFont="1" applyFill="0" applyBorder="1" applyAlignment="1" applyProtection="0">
      <alignment vertical="top" wrapText="1"/>
    </xf>
    <xf numFmtId="0" fontId="0" borderId="2" applyNumberFormat="1" applyFont="1" applyFill="0" applyBorder="1" applyAlignment="1" applyProtection="0">
      <alignment vertical="top" wrapText="1"/>
    </xf>
    <xf numFmtId="0" fontId="4" fillId="5" borderId="6" applyNumberFormat="1" applyFont="1" applyFill="1" applyBorder="1" applyAlignment="1" applyProtection="0">
      <alignment vertical="top" wrapText="1"/>
    </xf>
    <xf numFmtId="60" fontId="0" borderId="7"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49" fontId="4" fillId="5" borderId="8" applyNumberFormat="1" applyFont="1" applyFill="1" applyBorder="1" applyAlignment="1" applyProtection="0">
      <alignment vertical="top" wrapText="1"/>
    </xf>
    <xf numFmtId="60" fontId="0" borderId="9" applyNumberFormat="1" applyFont="1" applyFill="0" applyBorder="1" applyAlignment="1" applyProtection="0">
      <alignment vertical="top" wrapText="1"/>
    </xf>
    <xf numFmtId="0" fontId="4" borderId="2"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f968c"/>
      <rgbColor rgb="fffff05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90</v>
      </c>
      <c r="D11" t="s" s="5">
        <v>91</v>
      </c>
    </row>
    <row r="12">
      <c r="B12" t="s" s="3">
        <v>97</v>
      </c>
      <c r="C12" s="3"/>
      <c r="D12" s="3"/>
    </row>
    <row r="13">
      <c r="B13" s="4"/>
      <c r="C13" t="s" s="4">
        <v>5</v>
      </c>
      <c r="D13" t="s" s="5">
        <v>97</v>
      </c>
    </row>
  </sheetData>
  <mergeCells count="1">
    <mergeCell ref="B3:D3"/>
  </mergeCells>
  <hyperlinks>
    <hyperlink ref="D10" location="'I230  Spring Lecture Schedule -'!R2C1" tooltip="" display="I230  Spring Lecture Schedule -"/>
    <hyperlink ref="D11" location="'I230  Spring Lecture Schedule 1'!R2C1" tooltip="" display="I230  Spring Lecture Schedule 1"/>
    <hyperlink ref="D13" location="'Sheet 1'!R2C1" tooltip="" display="Sheet 1"/>
  </hyperlinks>
</worksheet>
</file>

<file path=xl/worksheets/sheet2.xml><?xml version="1.0" encoding="utf-8"?>
<worksheet xmlns:r="http://schemas.openxmlformats.org/officeDocument/2006/relationships" xmlns="http://schemas.openxmlformats.org/spreadsheetml/2006/main">
  <dimension ref="A2:J5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3" width="16.3516" style="6" customWidth="1"/>
    <col min="4" max="4" hidden="1" width="16.3333" style="6" customWidth="1"/>
    <col min="5" max="10" width="16.3516" style="6" customWidth="1"/>
    <col min="11" max="16384" width="16.3516" style="6" customWidth="1"/>
  </cols>
  <sheetData>
    <row r="1" ht="27.65" customHeight="1">
      <c r="A1" t="s" s="7">
        <v>5</v>
      </c>
      <c r="B1" s="7"/>
      <c r="C1" s="7"/>
      <c r="D1" s="7"/>
      <c r="E1" s="7"/>
      <c r="F1" s="7"/>
      <c r="G1" s="7"/>
      <c r="H1" s="7"/>
      <c r="I1" s="7"/>
      <c r="J1" s="7"/>
    </row>
    <row r="2" ht="20.25" customHeight="1">
      <c r="A2" s="8"/>
      <c r="B2" s="8"/>
      <c r="C2" t="s" s="9">
        <v>7</v>
      </c>
      <c r="D2" t="s" s="9">
        <v>8</v>
      </c>
      <c r="E2" t="s" s="10">
        <v>9</v>
      </c>
      <c r="F2" t="s" s="10">
        <v>10</v>
      </c>
      <c r="G2" t="s" s="10">
        <v>11</v>
      </c>
      <c r="H2" t="s" s="10">
        <v>12</v>
      </c>
      <c r="I2" t="s" s="10">
        <v>13</v>
      </c>
      <c r="J2" t="s" s="10">
        <v>14</v>
      </c>
    </row>
    <row r="3" ht="44.25" customHeight="1">
      <c r="A3" s="11">
        <v>35</v>
      </c>
      <c r="B3" t="s" s="12">
        <v>15</v>
      </c>
      <c r="C3" s="13">
        <v>45529</v>
      </c>
      <c r="D3" s="14"/>
      <c r="E3" t="s" s="15">
        <v>16</v>
      </c>
      <c r="F3" t="s" s="15">
        <v>17</v>
      </c>
      <c r="G3" t="s" s="15">
        <v>18</v>
      </c>
      <c r="H3" t="s" s="15">
        <v>19</v>
      </c>
      <c r="I3" s="16"/>
      <c r="J3" s="16"/>
    </row>
    <row r="4" ht="44.05" customHeight="1">
      <c r="A4" s="17"/>
      <c r="B4" s="18"/>
      <c r="C4" s="19" cm="1">
        <f t="array" ref="C4">C3+2</f>
        <v>45531</v>
      </c>
      <c r="D4" s="20"/>
      <c r="E4" t="s" s="21">
        <v>20</v>
      </c>
      <c r="F4" t="s" s="21">
        <v>21</v>
      </c>
      <c r="G4" t="s" s="21">
        <v>22</v>
      </c>
      <c r="H4" s="22"/>
      <c r="I4" s="22"/>
      <c r="J4" s="22"/>
    </row>
    <row r="5" ht="20.05" customHeight="1">
      <c r="A5" s="23">
        <v>36</v>
      </c>
      <c r="B5" t="s" s="24">
        <v>23</v>
      </c>
      <c r="C5" s="19">
        <v>45536</v>
      </c>
      <c r="D5" s="20"/>
      <c r="E5" t="s" s="25">
        <v>24</v>
      </c>
      <c r="F5" s="22"/>
      <c r="G5" s="22"/>
      <c r="H5" s="22"/>
      <c r="I5" s="26"/>
      <c r="J5" s="26"/>
    </row>
    <row r="6" ht="80.05" customHeight="1">
      <c r="A6" s="17"/>
      <c r="B6" s="18"/>
      <c r="C6" s="19">
        <v>45538</v>
      </c>
      <c r="D6" s="20"/>
      <c r="E6" t="s" s="21">
        <v>25</v>
      </c>
      <c r="F6" t="s" s="21">
        <v>26</v>
      </c>
      <c r="G6" t="s" s="21">
        <v>27</v>
      </c>
      <c r="H6" t="s" s="21">
        <v>28</v>
      </c>
      <c r="I6" s="22"/>
      <c r="J6" s="22"/>
    </row>
    <row r="7" ht="56.05" customHeight="1">
      <c r="A7" s="23">
        <v>37</v>
      </c>
      <c r="B7" t="s" s="24">
        <v>29</v>
      </c>
      <c r="C7" s="19" cm="1">
        <f t="array" ref="C7">C6+5</f>
        <v>45543</v>
      </c>
      <c r="D7" s="20"/>
      <c r="E7" t="s" s="21">
        <v>30</v>
      </c>
      <c r="F7" t="s" s="21">
        <v>31</v>
      </c>
      <c r="G7" t="s" s="21">
        <v>32</v>
      </c>
      <c r="H7" t="s" s="21">
        <v>33</v>
      </c>
      <c r="I7" s="22"/>
      <c r="J7" s="22"/>
    </row>
    <row r="8" ht="32.05" customHeight="1">
      <c r="A8" s="17"/>
      <c r="B8" s="18"/>
      <c r="C8" s="19" cm="1">
        <f t="array" ref="C8">C7+2</f>
        <v>45545</v>
      </c>
      <c r="D8" s="20"/>
      <c r="E8" t="s" s="21">
        <v>34</v>
      </c>
      <c r="F8" s="22"/>
      <c r="G8" s="22"/>
      <c r="H8" s="22"/>
      <c r="I8" s="22"/>
      <c r="J8" s="22"/>
    </row>
    <row r="9" ht="32.05" customHeight="1">
      <c r="A9" s="23">
        <v>38</v>
      </c>
      <c r="B9" t="s" s="24">
        <v>35</v>
      </c>
      <c r="C9" s="19" cm="1">
        <f t="array" ref="C9">C8+5</f>
        <v>45550</v>
      </c>
      <c r="D9" s="20"/>
      <c r="E9" t="s" s="21">
        <v>36</v>
      </c>
      <c r="F9" t="s" s="21">
        <v>37</v>
      </c>
      <c r="G9" t="s" s="21">
        <v>38</v>
      </c>
      <c r="H9" t="s" s="21">
        <v>39</v>
      </c>
      <c r="I9" s="22"/>
      <c r="J9" s="22"/>
    </row>
    <row r="10" ht="20.05" customHeight="1">
      <c r="A10" s="17"/>
      <c r="B10" s="18"/>
      <c r="C10" s="19" cm="1">
        <f t="array" ref="C10">C9+2</f>
        <v>45552</v>
      </c>
      <c r="D10" s="20"/>
      <c r="E10" t="s" s="21">
        <v>40</v>
      </c>
      <c r="F10" s="22"/>
      <c r="G10" s="22"/>
      <c r="H10" s="22"/>
      <c r="I10" s="22"/>
      <c r="J10" s="22"/>
    </row>
    <row r="11" ht="32.05" customHeight="1">
      <c r="A11" s="23">
        <v>39</v>
      </c>
      <c r="B11" t="s" s="24">
        <v>41</v>
      </c>
      <c r="C11" s="19" cm="1">
        <f t="array" ref="C11">C10+5</f>
        <v>45557</v>
      </c>
      <c r="D11" s="20"/>
      <c r="E11" t="s" s="21">
        <v>42</v>
      </c>
      <c r="F11" t="s" s="21">
        <v>43</v>
      </c>
      <c r="G11" s="22"/>
      <c r="H11" t="s" s="21">
        <v>44</v>
      </c>
      <c r="I11" s="22"/>
      <c r="J11" s="22"/>
    </row>
    <row r="12" ht="32.05" customHeight="1">
      <c r="A12" s="17"/>
      <c r="B12" s="18"/>
      <c r="C12" s="19" cm="1">
        <f t="array" ref="C12">C11+2</f>
        <v>45559</v>
      </c>
      <c r="D12" s="20"/>
      <c r="E12" t="s" s="21">
        <v>45</v>
      </c>
      <c r="F12" s="22"/>
      <c r="G12" s="22"/>
      <c r="H12" s="22"/>
      <c r="I12" s="22"/>
      <c r="J12" s="22"/>
    </row>
    <row r="13" ht="32.05" customHeight="1">
      <c r="A13" s="23">
        <v>40</v>
      </c>
      <c r="B13" t="s" s="24">
        <v>46</v>
      </c>
      <c r="C13" s="19" cm="1">
        <f t="array" ref="C13">C12+5</f>
        <v>45564</v>
      </c>
      <c r="D13" s="20"/>
      <c r="E13" t="s" s="21">
        <v>47</v>
      </c>
      <c r="F13" s="22"/>
      <c r="G13" s="22"/>
      <c r="H13" t="s" s="21">
        <v>48</v>
      </c>
      <c r="I13" s="27">
        <v>45932</v>
      </c>
      <c r="J13" s="27">
        <v>45938</v>
      </c>
    </row>
    <row r="14" ht="68.05" customHeight="1">
      <c r="A14" s="17"/>
      <c r="B14" s="18"/>
      <c r="C14" s="19" cm="1">
        <f t="array" ref="C14">C13+2</f>
        <v>45566</v>
      </c>
      <c r="D14" s="20"/>
      <c r="E14" t="s" s="21">
        <v>49</v>
      </c>
      <c r="F14" s="22"/>
      <c r="G14" s="22"/>
      <c r="H14" s="22"/>
      <c r="I14" s="22"/>
      <c r="J14" s="22"/>
    </row>
    <row r="15" ht="32.05" customHeight="1">
      <c r="A15" s="23">
        <v>41</v>
      </c>
      <c r="B15" t="s" s="24">
        <v>50</v>
      </c>
      <c r="C15" s="19" cm="1">
        <f t="array" ref="C15">C14+5</f>
        <v>45571</v>
      </c>
      <c r="D15" s="20"/>
      <c r="E15" t="s" s="21">
        <v>51</v>
      </c>
      <c r="F15" t="s" s="21">
        <v>52</v>
      </c>
      <c r="G15" t="s" s="21">
        <v>53</v>
      </c>
      <c r="H15" t="s" s="21">
        <v>54</v>
      </c>
      <c r="I15" s="27">
        <v>45937</v>
      </c>
      <c r="J15" s="27">
        <v>45944</v>
      </c>
    </row>
    <row r="16" ht="56.05" customHeight="1">
      <c r="A16" s="17"/>
      <c r="B16" s="18"/>
      <c r="C16" s="19" cm="1">
        <f t="array" ref="C16">C15+2</f>
        <v>45573</v>
      </c>
      <c r="D16" s="20"/>
      <c r="E16" t="s" s="21">
        <v>55</v>
      </c>
      <c r="F16" s="22"/>
      <c r="G16" s="22"/>
      <c r="H16" s="22"/>
      <c r="I16" s="22"/>
      <c r="J16" s="22"/>
    </row>
    <row r="17" ht="44.05" customHeight="1">
      <c r="A17" s="23">
        <v>42</v>
      </c>
      <c r="B17" t="s" s="24">
        <v>56</v>
      </c>
      <c r="C17" s="19" cm="1">
        <f t="array" ref="C17">C16+5</f>
        <v>45578</v>
      </c>
      <c r="D17" s="20"/>
      <c r="E17" t="s" s="21">
        <v>57</v>
      </c>
      <c r="F17" t="s" s="21">
        <v>58</v>
      </c>
      <c r="G17" s="22"/>
      <c r="H17" s="22"/>
      <c r="I17" s="27">
        <v>45932</v>
      </c>
      <c r="J17" s="27">
        <v>45952</v>
      </c>
    </row>
    <row r="18" ht="20.05" customHeight="1">
      <c r="A18" s="17"/>
      <c r="B18" s="18"/>
      <c r="C18" s="19" cm="1">
        <f t="array" ref="C18">C17+2</f>
        <v>45580</v>
      </c>
      <c r="D18" s="20"/>
      <c r="E18" t="s" s="21">
        <v>59</v>
      </c>
      <c r="F18" s="22"/>
      <c r="G18" s="22"/>
      <c r="H18" s="22"/>
      <c r="I18" s="22"/>
      <c r="J18" s="22"/>
    </row>
    <row r="19" ht="20.05" customHeight="1">
      <c r="A19" s="23">
        <v>43</v>
      </c>
      <c r="B19" t="s" s="24">
        <v>60</v>
      </c>
      <c r="C19" s="19" cm="1">
        <f t="array" ref="C19">C18+5</f>
        <v>45585</v>
      </c>
      <c r="D19" s="20"/>
      <c r="E19" t="s" s="21">
        <v>61</v>
      </c>
      <c r="F19" t="s" s="21">
        <v>62</v>
      </c>
      <c r="G19" s="22"/>
      <c r="H19" s="22"/>
      <c r="I19" s="27">
        <v>45952</v>
      </c>
      <c r="J19" s="27">
        <v>45959</v>
      </c>
    </row>
    <row r="20" ht="32.05" customHeight="1">
      <c r="A20" s="17"/>
      <c r="B20" s="18"/>
      <c r="C20" s="19" cm="1">
        <f t="array" ref="C20">C19+2</f>
        <v>45587</v>
      </c>
      <c r="D20" s="20"/>
      <c r="E20" t="s" s="21">
        <v>63</v>
      </c>
      <c r="F20" s="22"/>
      <c r="G20" s="22"/>
      <c r="H20" s="22"/>
      <c r="I20" s="22"/>
      <c r="J20" s="22"/>
    </row>
    <row r="21" ht="32.05" customHeight="1">
      <c r="A21" s="23">
        <v>44</v>
      </c>
      <c r="B21" t="s" s="24">
        <v>64</v>
      </c>
      <c r="C21" s="19" cm="1">
        <f t="array" ref="C21">C20+5</f>
        <v>45592</v>
      </c>
      <c r="D21" s="20"/>
      <c r="E21" t="s" s="21">
        <v>65</v>
      </c>
      <c r="F21" t="s" s="21">
        <v>66</v>
      </c>
      <c r="G21" s="22"/>
      <c r="H21" s="22"/>
      <c r="I21" s="27">
        <v>45958</v>
      </c>
      <c r="J21" s="27">
        <v>45972</v>
      </c>
    </row>
    <row r="22" ht="56.05" customHeight="1">
      <c r="A22" s="17"/>
      <c r="B22" s="18"/>
      <c r="C22" s="19" cm="1">
        <f t="array" ref="C22">C21+2</f>
        <v>45594</v>
      </c>
      <c r="D22" s="28">
        <v>0</v>
      </c>
      <c r="E22" t="s" s="21">
        <v>67</v>
      </c>
      <c r="F22" s="22"/>
      <c r="G22" s="22"/>
      <c r="H22" s="22"/>
      <c r="I22" s="22"/>
      <c r="J22" s="22"/>
    </row>
    <row r="23" ht="20.05" customHeight="1">
      <c r="A23" s="23">
        <v>45</v>
      </c>
      <c r="B23" t="s" s="24">
        <v>68</v>
      </c>
      <c r="C23" s="19" cm="1">
        <f t="array" ref="C23">C22+5</f>
        <v>45599</v>
      </c>
      <c r="D23" s="20"/>
      <c r="E23" t="s" s="21">
        <v>69</v>
      </c>
      <c r="F23" s="22"/>
      <c r="G23" s="22"/>
      <c r="H23" s="22"/>
      <c r="I23" s="22"/>
      <c r="J23" s="22"/>
    </row>
    <row r="24" ht="23.95" customHeight="1">
      <c r="A24" s="17"/>
      <c r="B24" s="18"/>
      <c r="C24" s="19" cm="1">
        <f t="array" ref="C24">C23+2</f>
        <v>45601</v>
      </c>
      <c r="D24" s="20"/>
      <c r="E24" t="s" s="21">
        <v>70</v>
      </c>
      <c r="F24" s="22"/>
      <c r="G24" s="22"/>
      <c r="H24" s="22"/>
      <c r="I24" s="22"/>
      <c r="J24" s="22"/>
    </row>
    <row r="25" ht="20.05" customHeight="1">
      <c r="A25" s="23">
        <v>46</v>
      </c>
      <c r="B25" t="s" s="24">
        <v>71</v>
      </c>
      <c r="C25" s="19" cm="1">
        <f t="array" ref="C25">C24+5</f>
        <v>45606</v>
      </c>
      <c r="D25" s="20"/>
      <c r="E25" t="s" s="21">
        <v>72</v>
      </c>
      <c r="F25" t="s" s="21">
        <v>73</v>
      </c>
      <c r="G25" s="22"/>
      <c r="H25" s="22"/>
      <c r="I25" s="22"/>
      <c r="J25" s="22"/>
    </row>
    <row r="26" ht="23.95" customHeight="1">
      <c r="A26" s="17"/>
      <c r="B26" s="18"/>
      <c r="C26" s="19" cm="1">
        <f t="array" ref="C26">C25+2</f>
        <v>45608</v>
      </c>
      <c r="D26" s="20"/>
      <c r="E26" t="s" s="21">
        <v>72</v>
      </c>
      <c r="F26" s="22"/>
      <c r="G26" s="22"/>
      <c r="H26" s="22"/>
      <c r="I26" s="22"/>
      <c r="J26" s="22"/>
    </row>
    <row r="27" ht="20.05" customHeight="1">
      <c r="A27" s="23">
        <v>47</v>
      </c>
      <c r="B27" t="s" s="24">
        <v>74</v>
      </c>
      <c r="C27" s="19" cm="1">
        <f t="array" ref="C27">C26+5</f>
        <v>45613</v>
      </c>
      <c r="D27" s="20"/>
      <c r="E27" t="s" s="21">
        <v>75</v>
      </c>
      <c r="F27" s="22"/>
      <c r="G27" s="22"/>
      <c r="H27" s="22"/>
      <c r="I27" s="22"/>
      <c r="J27" s="22"/>
    </row>
    <row r="28" ht="20.05" customHeight="1">
      <c r="A28" s="17"/>
      <c r="B28" s="18"/>
      <c r="C28" s="19" cm="1">
        <f t="array" ref="C28">C27+2</f>
        <v>45615</v>
      </c>
      <c r="D28" s="20"/>
      <c r="E28" t="s" s="21">
        <v>76</v>
      </c>
      <c r="F28" s="22"/>
      <c r="G28" s="22"/>
      <c r="H28" s="22"/>
      <c r="I28" s="22"/>
      <c r="J28" s="22"/>
    </row>
    <row r="29" ht="20.05" customHeight="1">
      <c r="A29" s="23">
        <v>48</v>
      </c>
      <c r="B29" s="18"/>
      <c r="C29" t="s" s="29">
        <v>77</v>
      </c>
      <c r="D29" s="20"/>
      <c r="E29" t="s" s="25">
        <v>78</v>
      </c>
      <c r="F29" s="22"/>
      <c r="G29" s="22"/>
      <c r="H29" s="22"/>
      <c r="I29" s="26"/>
      <c r="J29" s="26"/>
    </row>
    <row r="30" ht="20.05" customHeight="1">
      <c r="A30" s="23">
        <v>49</v>
      </c>
      <c r="B30" t="s" s="24">
        <v>79</v>
      </c>
      <c r="C30" s="19">
        <v>45629</v>
      </c>
      <c r="D30" s="20"/>
      <c r="E30" t="s" s="21">
        <v>80</v>
      </c>
      <c r="F30" s="22"/>
      <c r="G30" s="22"/>
      <c r="H30" s="22"/>
      <c r="I30" s="22"/>
      <c r="J30" s="22"/>
    </row>
    <row r="31" ht="20.05" customHeight="1">
      <c r="A31" s="17"/>
      <c r="B31" t="s" s="24">
        <v>79</v>
      </c>
      <c r="C31" s="19" cm="1">
        <f t="array" ref="C31">C30+2</f>
        <v>45631</v>
      </c>
      <c r="D31" s="20"/>
      <c r="E31" t="s" s="21">
        <v>81</v>
      </c>
      <c r="F31" s="22"/>
      <c r="G31" s="22"/>
      <c r="H31" s="22"/>
      <c r="I31" s="22"/>
      <c r="J31" s="22"/>
    </row>
    <row r="32" ht="20.05" customHeight="1">
      <c r="A32" s="23">
        <v>50</v>
      </c>
      <c r="B32" t="s" s="24">
        <v>82</v>
      </c>
      <c r="C32" s="19" cm="1">
        <f t="array" ref="C32">C31+5</f>
        <v>45636</v>
      </c>
      <c r="D32" s="20"/>
      <c r="E32" t="s" s="21">
        <v>83</v>
      </c>
      <c r="F32" s="22"/>
      <c r="G32" s="22"/>
      <c r="H32" s="22"/>
      <c r="I32" s="22"/>
      <c r="J32" s="22"/>
    </row>
    <row r="33" ht="20.05" customHeight="1">
      <c r="A33" s="17"/>
      <c r="B33" t="s" s="24">
        <v>82</v>
      </c>
      <c r="C33" s="19" cm="1">
        <f t="array" ref="C33">C32+2</f>
        <v>45638</v>
      </c>
      <c r="D33" s="20"/>
      <c r="E33" t="s" s="21">
        <v>84</v>
      </c>
      <c r="F33" s="22"/>
      <c r="G33" s="22"/>
      <c r="H33" s="22"/>
      <c r="I33" s="22"/>
      <c r="J33" s="22"/>
    </row>
    <row r="34" ht="20.05" customHeight="1">
      <c r="A34" s="23">
        <v>51</v>
      </c>
      <c r="B34" t="s" s="24">
        <v>85</v>
      </c>
      <c r="C34" s="30">
        <v>45644</v>
      </c>
      <c r="D34" s="28">
        <v>0</v>
      </c>
      <c r="E34" t="s" s="31">
        <v>86</v>
      </c>
      <c r="F34" s="22"/>
      <c r="G34" s="22"/>
      <c r="H34" s="22"/>
      <c r="I34" s="32"/>
      <c r="J34" s="32"/>
    </row>
    <row r="35" ht="20.05" customHeight="1">
      <c r="A35" s="17"/>
      <c r="B35" s="18"/>
      <c r="C35" s="33"/>
      <c r="D35" s="20"/>
      <c r="E35" s="22"/>
      <c r="F35" s="22"/>
      <c r="G35" s="22"/>
      <c r="H35" s="22"/>
      <c r="I35" s="22"/>
      <c r="J35" s="22"/>
    </row>
    <row r="36" ht="44.05" customHeight="1">
      <c r="A36" s="17"/>
      <c r="B36" s="18"/>
      <c r="C36" s="33"/>
      <c r="D36" s="20"/>
      <c r="E36" t="s" s="21">
        <v>87</v>
      </c>
      <c r="F36" t="s" s="21">
        <v>88</v>
      </c>
      <c r="G36" s="22"/>
      <c r="H36" t="s" s="21">
        <v>89</v>
      </c>
      <c r="I36" s="22"/>
      <c r="J36" s="22"/>
    </row>
    <row r="37" ht="20.05" customHeight="1">
      <c r="A37" s="17"/>
      <c r="B37" s="18"/>
      <c r="C37" s="33"/>
      <c r="D37" s="20"/>
      <c r="E37" s="22"/>
      <c r="F37" s="22"/>
      <c r="G37" s="22"/>
      <c r="H37" s="22"/>
      <c r="I37" s="22"/>
      <c r="J37" s="22"/>
    </row>
    <row r="38" ht="20.05" customHeight="1">
      <c r="A38" s="17"/>
      <c r="B38" s="18"/>
      <c r="C38" s="33"/>
      <c r="D38" s="20"/>
      <c r="E38" s="22"/>
      <c r="F38" s="22"/>
      <c r="G38" s="22"/>
      <c r="H38" s="22"/>
      <c r="I38" s="22"/>
      <c r="J38" s="22"/>
    </row>
    <row r="39" ht="20.05" customHeight="1">
      <c r="A39" s="17"/>
      <c r="B39" s="18"/>
      <c r="C39" s="33"/>
      <c r="D39" s="20"/>
      <c r="E39" s="22"/>
      <c r="F39" s="22"/>
      <c r="G39" s="22"/>
      <c r="H39" s="22"/>
      <c r="I39" s="22"/>
      <c r="J39" s="22"/>
    </row>
    <row r="40" ht="20.05" customHeight="1">
      <c r="A40" s="17"/>
      <c r="B40" s="18"/>
      <c r="C40" s="33"/>
      <c r="D40" s="20"/>
      <c r="E40" s="22"/>
      <c r="F40" s="22"/>
      <c r="G40" s="22"/>
      <c r="H40" s="22"/>
      <c r="I40" s="22"/>
      <c r="J40" s="22"/>
    </row>
    <row r="41" ht="20.05" customHeight="1">
      <c r="A41" s="17"/>
      <c r="B41" s="18"/>
      <c r="C41" s="33"/>
      <c r="D41" s="20"/>
      <c r="E41" s="22"/>
      <c r="F41" s="22"/>
      <c r="G41" s="22"/>
      <c r="H41" s="22"/>
      <c r="I41" s="22"/>
      <c r="J41" s="22"/>
    </row>
    <row r="42" ht="20.05" customHeight="1">
      <c r="A42" s="17"/>
      <c r="B42" s="18"/>
      <c r="C42" s="33"/>
      <c r="D42" s="20"/>
      <c r="E42" s="22"/>
      <c r="F42" s="22"/>
      <c r="G42" s="22"/>
      <c r="H42" s="22"/>
      <c r="I42" s="22"/>
      <c r="J42" s="22"/>
    </row>
    <row r="43" ht="20.05" customHeight="1">
      <c r="A43" s="17"/>
      <c r="B43" s="18"/>
      <c r="C43" s="33"/>
      <c r="D43" s="20"/>
      <c r="E43" s="22"/>
      <c r="F43" s="22"/>
      <c r="G43" s="22"/>
      <c r="H43" s="22"/>
      <c r="I43" s="22"/>
      <c r="J43" s="22"/>
    </row>
    <row r="44" ht="20.05" customHeight="1">
      <c r="A44" s="17"/>
      <c r="B44" s="18"/>
      <c r="C44" s="33"/>
      <c r="D44" s="20"/>
      <c r="E44" s="22"/>
      <c r="F44" s="22"/>
      <c r="G44" s="22"/>
      <c r="H44" s="22"/>
      <c r="I44" s="22"/>
      <c r="J44" s="22"/>
    </row>
    <row r="45" ht="20.05" customHeight="1">
      <c r="A45" s="17"/>
      <c r="B45" s="18"/>
      <c r="C45" s="33"/>
      <c r="D45" s="20"/>
      <c r="E45" s="22"/>
      <c r="F45" s="22"/>
      <c r="G45" s="22"/>
      <c r="H45" s="22"/>
      <c r="I45" s="22"/>
      <c r="J45" s="22"/>
    </row>
    <row r="46" ht="20.05" customHeight="1">
      <c r="A46" s="17"/>
      <c r="B46" s="18"/>
      <c r="C46" s="33"/>
      <c r="D46" s="20"/>
      <c r="E46" s="22"/>
      <c r="F46" s="22"/>
      <c r="G46" s="22"/>
      <c r="H46" s="22"/>
      <c r="I46" s="22"/>
      <c r="J46" s="22"/>
    </row>
    <row r="47" ht="20.05" customHeight="1">
      <c r="A47" s="17"/>
      <c r="B47" s="18"/>
      <c r="C47" s="33"/>
      <c r="D47" s="20"/>
      <c r="E47" s="22"/>
      <c r="F47" s="22"/>
      <c r="G47" s="22"/>
      <c r="H47" s="22"/>
      <c r="I47" s="22"/>
      <c r="J47" s="22"/>
    </row>
    <row r="48" ht="20.05" customHeight="1">
      <c r="A48" s="17"/>
      <c r="B48" s="18"/>
      <c r="C48" s="33"/>
      <c r="D48" s="20"/>
      <c r="E48" s="22"/>
      <c r="F48" s="22"/>
      <c r="G48" s="22"/>
      <c r="H48" s="22"/>
      <c r="I48" s="22"/>
      <c r="J48" s="22"/>
    </row>
    <row r="49" ht="20.05" customHeight="1">
      <c r="A49" s="17"/>
      <c r="B49" s="18"/>
      <c r="C49" s="33"/>
      <c r="D49" s="20"/>
      <c r="E49" s="22"/>
      <c r="F49" s="22"/>
      <c r="G49" s="22"/>
      <c r="H49" s="22"/>
      <c r="I49" s="22"/>
      <c r="J49" s="22"/>
    </row>
    <row r="50" ht="20.05" customHeight="1">
      <c r="A50" s="17"/>
      <c r="B50" s="18"/>
      <c r="C50" s="33"/>
      <c r="D50" s="20"/>
      <c r="E50" s="22"/>
      <c r="F50" s="22"/>
      <c r="G50" s="22"/>
      <c r="H50" s="22"/>
      <c r="I50" s="22"/>
      <c r="J50" s="22"/>
    </row>
    <row r="51" ht="20.05" customHeight="1">
      <c r="A51" s="17"/>
      <c r="B51" s="18"/>
      <c r="C51" s="33"/>
      <c r="D51" s="20"/>
      <c r="E51" s="22"/>
      <c r="F51" s="22"/>
      <c r="G51" s="22"/>
      <c r="H51" s="22"/>
      <c r="I51" s="22"/>
      <c r="J51" s="22"/>
    </row>
    <row r="52" ht="20.25" customHeight="1">
      <c r="A52" s="34"/>
      <c r="B52" s="35"/>
      <c r="C52" s="36"/>
      <c r="D52" s="37"/>
      <c r="E52" s="38"/>
      <c r="F52" s="38"/>
      <c r="G52" s="38"/>
      <c r="H52" s="38"/>
      <c r="I52" s="38"/>
      <c r="J52" s="38"/>
    </row>
    <row r="53" ht="20.25" customHeight="1">
      <c r="A53" s="39"/>
      <c r="B53" s="39"/>
      <c r="C53" s="40"/>
      <c r="D53" s="41" cm="1">
        <f t="array" ref="D53">SUM(D3:D52)</f>
        <v>0</v>
      </c>
      <c r="E53" s="39"/>
      <c r="F53" s="39"/>
      <c r="G53" s="39"/>
      <c r="H53" s="39"/>
      <c r="I53" s="39"/>
      <c r="J53" s="39"/>
    </row>
  </sheetData>
  <mergeCells count="28">
    <mergeCell ref="A1:J1"/>
    <mergeCell ref="E34:H34"/>
    <mergeCell ref="E29:H29"/>
    <mergeCell ref="E5:H5"/>
    <mergeCell ref="B5:B6"/>
    <mergeCell ref="B3:B4"/>
    <mergeCell ref="B7:B8"/>
    <mergeCell ref="B9:B10"/>
    <mergeCell ref="B11:B12"/>
    <mergeCell ref="B13:B14"/>
    <mergeCell ref="B15:B16"/>
    <mergeCell ref="B17:B18"/>
    <mergeCell ref="B19:B20"/>
    <mergeCell ref="B21:B22"/>
    <mergeCell ref="B23:B24"/>
    <mergeCell ref="B25:B26"/>
    <mergeCell ref="A5:A6"/>
    <mergeCell ref="A3:A4"/>
    <mergeCell ref="A7:A8"/>
    <mergeCell ref="A9:A10"/>
    <mergeCell ref="A11:A12"/>
    <mergeCell ref="A13:A14"/>
    <mergeCell ref="A15:A16"/>
    <mergeCell ref="A17:A18"/>
    <mergeCell ref="A19:A20"/>
    <mergeCell ref="A21:A22"/>
    <mergeCell ref="A23:A24"/>
    <mergeCell ref="A25:A2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E11"/>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5" width="16.3516" style="42" customWidth="1"/>
    <col min="6" max="16384" width="16.3516" style="42" customWidth="1"/>
  </cols>
  <sheetData>
    <row r="1" ht="27.65" customHeight="1">
      <c r="A1" t="s" s="7">
        <v>90</v>
      </c>
      <c r="B1" s="7"/>
      <c r="C1" s="7"/>
      <c r="D1" s="7"/>
      <c r="E1" s="7"/>
    </row>
    <row r="2" ht="20.25" customHeight="1">
      <c r="A2" t="s" s="10">
        <v>10</v>
      </c>
      <c r="B2" t="s" s="10">
        <v>92</v>
      </c>
      <c r="C2" t="s" s="10">
        <v>14</v>
      </c>
      <c r="D2" t="s" s="10">
        <v>93</v>
      </c>
      <c r="E2" s="8"/>
    </row>
    <row r="3" ht="20.25" customHeight="1">
      <c r="A3" s="16"/>
      <c r="B3" s="16"/>
      <c r="C3" s="16"/>
      <c r="D3" s="16"/>
      <c r="E3" s="16"/>
    </row>
    <row r="4" ht="20.05" customHeight="1">
      <c r="A4" s="22"/>
      <c r="B4" s="27"/>
      <c r="C4" s="27"/>
      <c r="D4" s="22"/>
      <c r="E4" s="22"/>
    </row>
    <row r="5" ht="20.05" customHeight="1">
      <c r="A5" t="s" s="21">
        <v>94</v>
      </c>
      <c r="B5" s="27">
        <v>45931</v>
      </c>
      <c r="C5" s="27">
        <v>45940</v>
      </c>
      <c r="D5" s="22"/>
      <c r="E5" s="22"/>
    </row>
    <row r="6" ht="20.05" customHeight="1">
      <c r="A6" t="s" s="21">
        <v>95</v>
      </c>
      <c r="B6" s="27">
        <v>45938</v>
      </c>
      <c r="C6" s="27">
        <v>45959</v>
      </c>
      <c r="D6" s="22">
        <v>14</v>
      </c>
      <c r="E6" s="22"/>
    </row>
    <row r="7" ht="20.05" customHeight="1">
      <c r="A7" t="s" s="21">
        <v>96</v>
      </c>
      <c r="B7" s="27">
        <v>45957</v>
      </c>
      <c r="C7" s="27">
        <v>45968</v>
      </c>
      <c r="D7" s="22">
        <v>14</v>
      </c>
      <c r="E7" s="22"/>
    </row>
    <row r="8" ht="20.05" customHeight="1">
      <c r="A8" t="s" s="21">
        <v>66</v>
      </c>
      <c r="B8" s="27">
        <v>45971</v>
      </c>
      <c r="C8" s="27">
        <v>45982</v>
      </c>
      <c r="D8" s="22">
        <v>14</v>
      </c>
      <c r="E8" s="22"/>
    </row>
    <row r="9" ht="20.05" customHeight="1">
      <c r="A9" t="s" s="21">
        <v>73</v>
      </c>
      <c r="B9" s="27">
        <v>45982</v>
      </c>
      <c r="C9" s="27">
        <v>46001</v>
      </c>
      <c r="D9" s="22">
        <v>14</v>
      </c>
      <c r="E9" s="22"/>
    </row>
    <row r="10" ht="20.05" customHeight="1">
      <c r="A10" s="22"/>
      <c r="B10" s="22"/>
      <c r="C10" s="22"/>
      <c r="D10" s="22"/>
      <c r="E10" s="22"/>
    </row>
    <row r="11" ht="20.05" customHeight="1">
      <c r="A11" s="22"/>
      <c r="B11" s="22"/>
      <c r="C11" s="22"/>
      <c r="D11" s="22"/>
      <c r="E11" s="22"/>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E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3" customWidth="1"/>
    <col min="6" max="16384" width="16.3516" style="43" customWidth="1"/>
  </cols>
  <sheetData>
    <row r="1" ht="27.65" customHeight="1">
      <c r="A1" t="s" s="7">
        <v>5</v>
      </c>
      <c r="B1" s="7"/>
      <c r="C1" s="7"/>
      <c r="D1" s="7"/>
      <c r="E1" s="7"/>
    </row>
    <row r="2" ht="20.25" customHeight="1">
      <c r="A2" t="s" s="10">
        <v>98</v>
      </c>
      <c r="B2" t="s" s="10">
        <v>7</v>
      </c>
      <c r="C2" t="s" s="10">
        <v>8</v>
      </c>
      <c r="D2" t="s" s="10">
        <v>99</v>
      </c>
      <c r="E2" t="s" s="10">
        <v>100</v>
      </c>
    </row>
    <row r="3" ht="20.25" customHeight="1">
      <c r="A3" s="44">
        <v>1</v>
      </c>
      <c r="B3" s="45">
        <v>44934</v>
      </c>
      <c r="C3" s="46">
        <v>2</v>
      </c>
      <c r="D3" s="16"/>
      <c r="E3" s="16"/>
    </row>
    <row r="4" ht="20.05" customHeight="1">
      <c r="A4" s="47">
        <v>2</v>
      </c>
      <c r="B4" s="48">
        <v>44941</v>
      </c>
      <c r="C4" s="49">
        <v>1</v>
      </c>
      <c r="D4" t="s" s="21">
        <v>101</v>
      </c>
      <c r="E4" s="22"/>
    </row>
    <row r="5" ht="20.05" customHeight="1">
      <c r="A5" s="47">
        <v>3</v>
      </c>
      <c r="B5" s="48">
        <v>44948</v>
      </c>
      <c r="C5" s="49">
        <v>2</v>
      </c>
      <c r="D5" s="22"/>
      <c r="E5" s="22"/>
    </row>
    <row r="6" ht="20.05" customHeight="1">
      <c r="A6" s="47">
        <v>4</v>
      </c>
      <c r="B6" s="48">
        <v>44955</v>
      </c>
      <c r="C6" s="49">
        <v>2</v>
      </c>
      <c r="D6" s="22"/>
      <c r="E6" s="22"/>
    </row>
    <row r="7" ht="20.05" customHeight="1">
      <c r="A7" s="47">
        <v>5</v>
      </c>
      <c r="B7" s="48">
        <v>44962</v>
      </c>
      <c r="C7" s="49">
        <v>2</v>
      </c>
      <c r="D7" s="22"/>
      <c r="E7" s="22"/>
    </row>
    <row r="8" ht="20.05" customHeight="1">
      <c r="A8" s="47">
        <v>6</v>
      </c>
      <c r="B8" s="48">
        <v>44969</v>
      </c>
      <c r="C8" s="49">
        <v>2</v>
      </c>
      <c r="D8" s="22"/>
      <c r="E8" s="22"/>
    </row>
    <row r="9" ht="20.05" customHeight="1">
      <c r="A9" s="47">
        <v>7</v>
      </c>
      <c r="B9" s="48">
        <v>44976</v>
      </c>
      <c r="C9" s="49">
        <v>2</v>
      </c>
      <c r="D9" s="22"/>
      <c r="E9" s="22"/>
    </row>
    <row r="10" ht="20.05" customHeight="1">
      <c r="A10" s="47">
        <v>8</v>
      </c>
      <c r="B10" s="48">
        <v>44983</v>
      </c>
      <c r="C10" s="49">
        <v>2</v>
      </c>
      <c r="D10" s="22"/>
      <c r="E10" s="22"/>
    </row>
    <row r="11" ht="20.05" customHeight="1">
      <c r="A11" s="47">
        <v>9</v>
      </c>
      <c r="B11" s="48">
        <v>44990</v>
      </c>
      <c r="C11" s="49">
        <v>2</v>
      </c>
      <c r="D11" s="22"/>
      <c r="E11" s="22"/>
    </row>
    <row r="12" ht="20.05" customHeight="1">
      <c r="A12" t="s" s="24">
        <v>102</v>
      </c>
      <c r="B12" s="48">
        <v>44997</v>
      </c>
      <c r="C12" s="49">
        <v>0</v>
      </c>
      <c r="D12" t="s" s="21">
        <v>102</v>
      </c>
      <c r="E12" s="22"/>
    </row>
    <row r="13" ht="20.05" customHeight="1">
      <c r="A13" s="47">
        <v>10</v>
      </c>
      <c r="B13" s="48">
        <v>45004</v>
      </c>
      <c r="C13" s="49">
        <v>2</v>
      </c>
      <c r="D13" s="22"/>
      <c r="E13" s="22"/>
    </row>
    <row r="14" ht="20.05" customHeight="1">
      <c r="A14" s="47">
        <v>11</v>
      </c>
      <c r="B14" s="48">
        <v>45011</v>
      </c>
      <c r="C14" s="49">
        <v>2</v>
      </c>
      <c r="D14" s="22"/>
      <c r="E14" s="22"/>
    </row>
    <row r="15" ht="20.05" customHeight="1">
      <c r="A15" s="47">
        <v>12</v>
      </c>
      <c r="B15" s="48">
        <v>45018</v>
      </c>
      <c r="C15" s="49">
        <v>2</v>
      </c>
      <c r="D15" s="22"/>
      <c r="E15" s="22"/>
    </row>
    <row r="16" ht="20.05" customHeight="1">
      <c r="A16" s="47">
        <v>13</v>
      </c>
      <c r="B16" s="48">
        <v>45025</v>
      </c>
      <c r="C16" s="49">
        <v>2</v>
      </c>
      <c r="D16" s="22"/>
      <c r="E16" s="22"/>
    </row>
    <row r="17" ht="20.05" customHeight="1">
      <c r="A17" s="47">
        <v>14</v>
      </c>
      <c r="B17" s="48">
        <v>45032</v>
      </c>
      <c r="C17" s="49">
        <v>2</v>
      </c>
      <c r="D17" s="22"/>
      <c r="E17" s="22"/>
    </row>
    <row r="18" ht="20.05" customHeight="1">
      <c r="A18" s="47">
        <v>15</v>
      </c>
      <c r="B18" s="48">
        <v>45039</v>
      </c>
      <c r="C18" s="49">
        <v>2</v>
      </c>
      <c r="D18" s="22"/>
      <c r="E18" s="22"/>
    </row>
    <row r="19" ht="20.05" customHeight="1">
      <c r="A19" t="s" s="24">
        <v>85</v>
      </c>
      <c r="B19" s="48">
        <v>45046</v>
      </c>
      <c r="C19" s="49">
        <v>0</v>
      </c>
      <c r="D19" s="22"/>
      <c r="E19" s="22"/>
    </row>
    <row r="20" ht="20.25" customHeight="1">
      <c r="A20" t="s" s="50">
        <v>103</v>
      </c>
      <c r="B20" s="51">
        <v>44995</v>
      </c>
      <c r="C20" s="38"/>
      <c r="D20" s="38"/>
      <c r="E20" s="38"/>
    </row>
    <row r="21" ht="20.25" customHeight="1">
      <c r="A21" s="39"/>
      <c r="B21" s="39"/>
      <c r="C21" s="52" cm="1">
        <f t="array" ref="C21">SUM(C3:C20)</f>
        <v>29</v>
      </c>
      <c r="D21" s="39"/>
      <c r="E21" s="39"/>
    </row>
  </sheetData>
  <mergeCells count="1">
    <mergeCell ref="A1:E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